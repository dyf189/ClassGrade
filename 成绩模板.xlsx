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35" windowHeight="7650"/>
  </bookViews>
  <sheets>
    <sheet name="成绩汇总" sheetId="1" r:id="rId1"/>
    <sheet name="成绩分析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<sst xmlns="http://schemas.openxmlformats.org/spreadsheetml/2006/main" count="43" uniqueCount="43">
  <si>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语文</t>
  </si>
  <si>
    <t>数学</t>
  </si>
  <si>
    <t>英语</t>
  </si>
  <si>
    <t>政治</t>
  </si>
  <si>
    <t>历史</t>
  </si>
  <si>
    <t>物理</t>
  </si>
  <si>
    <t>生物</t>
  </si>
  <si>
    <t>地理</t>
  </si>
  <si>
    <t>总分</t>
  </si>
  <si>
    <t>班排名</t>
  </si>
  <si>
    <t>校排名</t>
  </si>
  <si>
    <t>初一上期中</t>
  </si>
  <si>
    <t>初一上期末</t>
  </si>
  <si>
    <t>初一下期中</t>
  </si>
  <si>
    <t>初一下期末</t>
  </si>
  <si>
    <t>初二上期中</t>
  </si>
  <si>
    <t>初二上期末</t>
  </si>
  <si>
    <t>初二下期中</t>
  </si>
  <si>
    <t>初二下期末</t>
  </si>
  <si>
    <t>参考数</t>
  </si>
  <si>
    <t>折分</t>
  </si>
  <si>
    <t>语文最高分</t>
  </si>
  <si>
    <t>数学最高分</t>
  </si>
  <si>
    <t>英语最高分</t>
  </si>
  <si>
    <t>政治最高分</t>
  </si>
  <si>
    <t>历史最高分</t>
  </si>
  <si>
    <t>物理最高分</t>
  </si>
  <si>
    <t>生物最高分</t>
  </si>
  <si>
    <t>地理最高分</t>
  </si>
  <si>
    <t>总分最高(除物理)</t>
  </si>
  <si>
    <t>总分最高(含物理)</t>
  </si>
  <si>
    <t>校名次最高</t>
  </si>
  <si>
    <t>语文最低分</t>
  </si>
  <si>
    <t>数学最低分</t>
  </si>
  <si>
    <t>英语最低分</t>
  </si>
  <si>
    <t>政治最低分</t>
  </si>
  <si>
    <t>历史最低分</t>
  </si>
  <si>
    <t>物理最低分</t>
  </si>
  <si>
    <t>生物最低分</t>
  </si>
  <si>
    <t>地理最低分</t>
  </si>
  <si>
    <t>总分最低(除物理)</t>
  </si>
  <si>
    <t>总分最低(含物理)</t>
  </si>
  <si>
    <t>校名次最低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</si>
</sst>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语文变化成绩 </a:t>
            </a:r>
          </a:p>
        </c:rich>
      </c:tx>
      <c:layout>
        <c:manualLayout>
          <c:xMode val="edge"/>
          <c:yMode val="edge"/>
          <c:x val="0.374340393544347"/>
          <c:y val="0.9001065199366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7153056671129"/>
          <c:y val="0.0923190546528804"/>
          <c:w val="0.864948683623382"/>
          <c:h val="0.57189807976366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  <a:sp3d contourW="28575"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成绩汇总!$B$3:$B$10</c:f>
              <c:strCache>
                <c:ptCount val="8"/>
                <c:pt idx="0">
                  <c:v>初一上期中</c:v>
                </c:pt>
                <c:pt idx="1">
                  <c:v>初一上期末</c:v>
                </c:pt>
                <c:pt idx="2">
                  <c:v>初一下期中</c:v>
                </c:pt>
                <c:pt idx="3">
                  <c:v>初一下期末</c:v>
                </c:pt>
                <c:pt idx="4">
                  <c:v>初二上期中</c:v>
                </c:pt>
                <c:pt idx="5">
                  <c:v>初二上期末</c:v>
                </c:pt>
                <c:pt idx="6">
                  <c:v>初二下期中</c:v>
                </c:pt>
                <c:pt idx="7">
                  <c:v>初二下期末</c:v>
                </c:pt>
              </c:strCache>
            </c:strRef>
          </c:cat>
          <c:val>
            <c:numRef>
              <c:f>成绩汇总!$C$3:$C$10</c:f>
              <c:numCache>
                <c:formatCode>General</c:formatCode>
                <c:ptCount val="8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156506"/>
        <c:axId val="952782150"/>
      </c:lineChart>
      <c:catAx>
        <c:axId val="5841565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  <a:alpha val="79000"/>
              </a:schemeClr>
            </a:solidFill>
            <a:round/>
          </a:ln>
          <a:effectLst/>
        </c:spPr>
        <c:txPr>
          <a:bodyPr rot="0" spcFirstLastPara="0" vertOverflow="ellipsis" vert="horz" wrap="square" anchor="b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2782150"/>
        <c:crosses val="autoZero"/>
        <c:auto val="0"/>
        <c:lblAlgn val="ctr"/>
        <c:lblOffset val="100"/>
        <c:noMultiLvlLbl val="0"/>
      </c:catAx>
      <c:valAx>
        <c:axId val="9527821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415650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222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数学变化成绩 </a:t>
            </a:r>
          </a:p>
        </c:rich>
      </c:tx>
      <c:layout>
        <c:manualLayout>
          <c:xMode val="edge"/>
          <c:yMode val="edge"/>
          <c:x val="0.392608570380299"/>
          <c:y val="0.90581862960915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7153056671129"/>
          <c:y val="0.0923190546528804"/>
          <c:w val="0.864948683623382"/>
          <c:h val="0.571898079763663"/>
        </c:manualLayout>
      </c:layout>
      <c:lineChart>
        <c:grouping val="standard"/>
        <c:varyColors val="0"/>
        <c:ser>
          <c:idx val="0"/>
          <c:order val="0"/>
          <c:tx>
            <c:strRef>
              <c:f>成绩汇总!$D$3:$D$9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成绩汇总!$B$3:$B$10</c:f>
              <c:strCache>
                <c:ptCount val="8"/>
                <c:pt idx="0">
                  <c:v>初一上期中</c:v>
                </c:pt>
                <c:pt idx="1">
                  <c:v>初一上期末</c:v>
                </c:pt>
                <c:pt idx="2">
                  <c:v>初一下期中</c:v>
                </c:pt>
                <c:pt idx="3">
                  <c:v>初一下期末</c:v>
                </c:pt>
                <c:pt idx="4">
                  <c:v>初二上期中</c:v>
                </c:pt>
                <c:pt idx="5">
                  <c:v>初二上期末</c:v>
                </c:pt>
                <c:pt idx="6">
                  <c:v>初二下期中</c:v>
                </c:pt>
                <c:pt idx="7">
                  <c:v>初二下期末</c:v>
                </c:pt>
              </c:strCache>
            </c:strRef>
          </c:cat>
          <c:val>
            <c:numRef>
              <c:f>成绩汇总!$D$10</c:f>
              <c:numCache>
                <c:formatCode>General</c:formatCode>
                <c:ptCount val="1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156506"/>
        <c:axId val="952782150"/>
      </c:lineChart>
      <c:catAx>
        <c:axId val="5841565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  <a:alpha val="79000"/>
              </a:schemeClr>
            </a:solidFill>
            <a:round/>
          </a:ln>
          <a:effectLst/>
        </c:spPr>
        <c:txPr>
          <a:bodyPr rot="0" spcFirstLastPara="0" vertOverflow="ellipsis" vert="horz" wrap="square" anchor="b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2782150"/>
        <c:crosses val="autoZero"/>
        <c:auto val="0"/>
        <c:lblAlgn val="ctr"/>
        <c:lblOffset val="100"/>
        <c:noMultiLvlLbl val="0"/>
      </c:catAx>
      <c:valAx>
        <c:axId val="9527821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415650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438150</xdr:colOff>
      <xdr:row>1</xdr:row>
      <xdr:rowOff>66675</xdr:rowOff>
    </xdr:from>
    <xdr:to>
      <xdr:col>8</xdr:col>
      <xdr:colOff>165735</xdr:colOff>
      <xdr:row>18</xdr:row>
      <xdr:rowOff>163195</xdr:rowOff>
    </xdr:to>
    <xdr:graphicFrame>
      <xdr:nvGraphicFramePr>
        <xdr:cNvPr id="2" name="语文"/>
        <xdr:cNvGraphicFramePr/>
      </xdr:nvGraphicFramePr>
      <xdr:xfrm>
        <a:off x="438150" y="257175"/>
        <a:ext cx="5213985" cy="3335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485775</xdr:colOff>
      <xdr:row>1</xdr:row>
      <xdr:rowOff>76200</xdr:rowOff>
    </xdr:from>
    <xdr:to>
      <xdr:col>16</xdr:col>
      <xdr:colOff>213360</xdr:colOff>
      <xdr:row>18</xdr:row>
      <xdr:rowOff>172720</xdr:rowOff>
    </xdr:to>
    <xdr:graphicFrame>
      <xdr:nvGraphicFramePr>
        <xdr:cNvPr id="3" name="语文"/>
        <xdr:cNvGraphicFramePr/>
      </xdr:nvGraphicFramePr>
      <xdr:xfrm>
        <a:off x="5972175" y="266700"/>
        <a:ext cx="5213985" cy="3335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8"/>
  <sheetViews>
    <sheetView tabSelected="1" workbookViewId="0">
      <selection activeCell="E20" sqref="E20"/>
    </sheetView>
  </sheetViews>
  <sheetFormatPr defaultColWidth="9" defaultRowHeight="15"/>
  <cols>
    <col min="1" max="1" width="5.625" customWidth="1"/>
    <col min="2" max="2" width="11.625" customWidth="1"/>
    <col min="3" max="10" width="10.625" customWidth="1"/>
    <col min="11" max="11" width="16" customWidth="1"/>
    <col min="12" max="12" width="15.125" customWidth="1"/>
    <col min="13" max="13" width="10.25" customWidth="1"/>
  </cols>
  <sheetData>
    <row r="2" spans="2:13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2:13">
      <c r="B3" s="1" t="s">
        <v>11</v>
      </c>
      <c r="C3" s="1"/>
      <c r="D3" s="1"/>
      <c r="E3" s="1"/>
      <c r="G3" s="1"/>
      <c r="H3" s="4"/>
      <c r="I3" s="1"/>
      <c r="J3" s="1"/>
      <c r="K3" s="1"/>
      <c r="L3" s="1"/>
      <c r="M3" s="1"/>
    </row>
    <row r="4" spans="2:13">
      <c r="B4" s="1" t="s">
        <v>12</v>
      </c>
      <c r="C4" s="1"/>
      <c r="D4" s="1"/>
      <c r="E4" s="1"/>
      <c r="F4" s="1"/>
      <c r="G4" s="1"/>
      <c r="H4" s="4"/>
      <c r="I4" s="1"/>
      <c r="J4" s="1"/>
      <c r="K4" s="1"/>
      <c r="L4" s="1"/>
      <c r="M4" s="1"/>
    </row>
    <row r="5" spans="2:13">
      <c r="B5" s="1" t="s">
        <v>13</v>
      </c>
      <c r="C5" s="1"/>
      <c r="D5" s="1"/>
      <c r="E5" s="1"/>
      <c r="F5" s="1"/>
      <c r="G5" s="1"/>
      <c r="H5" s="4"/>
      <c r="I5" s="1"/>
      <c r="J5" s="1"/>
      <c r="K5" s="1"/>
      <c r="L5" s="1"/>
      <c r="M5" s="1"/>
    </row>
    <row r="6" spans="2:13">
      <c r="B6" s="1" t="s">
        <v>14</v>
      </c>
      <c r="C6" s="1"/>
      <c r="D6" s="1"/>
      <c r="E6" s="1"/>
      <c r="F6" s="1"/>
      <c r="G6" s="1"/>
      <c r="H6" s="4"/>
      <c r="I6" s="1"/>
      <c r="J6" s="1"/>
      <c r="K6" s="1"/>
      <c r="L6" s="1"/>
      <c r="M6" s="1"/>
    </row>
    <row r="7" spans="2:13">
      <c r="B7" s="1" t="s">
        <v>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>
      <c r="B8" s="1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3">
      <c r="B9" s="1" t="s">
        <v>17</v>
      </c>
      <c r="C9" s="1"/>
      <c r="D9" s="1"/>
      <c r="E9" s="1"/>
      <c r="F9" s="1"/>
      <c r="G9" s="1"/>
      <c r="H9" s="1"/>
      <c r="I9" s="5"/>
      <c r="J9" s="5"/>
      <c r="K9" s="1"/>
      <c r="L9" s="1"/>
      <c r="M9" s="1"/>
    </row>
    <row r="10" spans="2:13">
      <c r="B10" s="1" t="s">
        <v>18</v>
      </c>
      <c r="C10" s="1"/>
      <c r="D10" s="1"/>
      <c r="E10" s="1"/>
      <c r="F10" s="1"/>
      <c r="G10" s="1"/>
      <c r="H10" s="1"/>
      <c r="I10" s="4"/>
      <c r="J10" s="4"/>
      <c r="K10" s="1"/>
      <c r="L10" s="1"/>
      <c r="M10" s="1"/>
    </row>
    <row r="11" ht="26" customHeight="1" spans="2:13">
      <c r="B11" s="1" t="s">
        <v>19</v>
      </c>
      <c r="C11" s="1">
        <v>120</v>
      </c>
      <c r="D11" s="1">
        <v>120</v>
      </c>
      <c r="E11" s="1">
        <v>120</v>
      </c>
      <c r="F11" s="1">
        <v>100</v>
      </c>
      <c r="G11" s="1">
        <v>100</v>
      </c>
      <c r="H11" s="1">
        <v>100</v>
      </c>
      <c r="I11" s="1">
        <v>100</v>
      </c>
      <c r="J11" s="1">
        <v>100</v>
      </c>
      <c r="K11" s="1">
        <v>860</v>
      </c>
      <c r="L11" s="1"/>
      <c r="M11" s="1"/>
    </row>
    <row r="12" spans="2:13">
      <c r="B12" s="1" t="s">
        <v>20</v>
      </c>
      <c r="C12" s="2">
        <v>1</v>
      </c>
      <c r="D12" s="2">
        <v>1</v>
      </c>
      <c r="E12" s="2">
        <v>1</v>
      </c>
      <c r="F12" s="2">
        <v>0.5</v>
      </c>
      <c r="G12" s="2">
        <v>0.4</v>
      </c>
      <c r="H12" s="2">
        <v>0.5</v>
      </c>
      <c r="I12" s="2">
        <v>0.3</v>
      </c>
      <c r="J12" s="2">
        <v>0.3</v>
      </c>
      <c r="K12" s="1">
        <v>560</v>
      </c>
      <c r="L12" s="1"/>
      <c r="M12" s="1"/>
    </row>
    <row r="14" spans="3:13"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26</v>
      </c>
      <c r="I14" s="3" t="s">
        <v>27</v>
      </c>
      <c r="J14" s="3" t="s">
        <v>28</v>
      </c>
      <c r="K14" s="6" t="s">
        <v>29</v>
      </c>
      <c r="L14" s="3" t="s">
        <v>30</v>
      </c>
      <c r="M14" s="3" t="s">
        <v>31</v>
      </c>
    </row>
    <row r="15" spans="3:13">
      <c r="C15" s="3">
        <f>MAX(C3:C10)</f>
        <v>0</v>
      </c>
      <c r="D15" s="3">
        <f>MAX(D3:D10)</f>
        <v>0</v>
      </c>
      <c r="E15" s="3">
        <f>MAX(E3:E10)</f>
        <v>0</v>
      </c>
      <c r="F15" s="3">
        <f t="shared" ref="F15:K15" si="0">MAX(F3:F10)</f>
        <v>0</v>
      </c>
      <c r="G15" s="3">
        <f t="shared" si="0"/>
        <v>0</v>
      </c>
      <c r="H15" s="3">
        <f t="shared" si="0"/>
        <v>0</v>
      </c>
      <c r="I15" s="3">
        <f t="shared" si="0"/>
        <v>0</v>
      </c>
      <c r="J15" s="3">
        <f t="shared" si="0"/>
        <v>0</v>
      </c>
      <c r="K15" s="6">
        <f>MAX(K3:K6)</f>
        <v>0</v>
      </c>
      <c r="L15" s="3">
        <f>MAX(K7:K9)</f>
        <v>0</v>
      </c>
      <c r="M15" s="3">
        <f>MIN(M3:M10)</f>
        <v>0</v>
      </c>
    </row>
    <row r="16" spans="3:13">
      <c r="C16" s="3" t="s">
        <v>32</v>
      </c>
      <c r="D16" s="3" t="s">
        <v>33</v>
      </c>
      <c r="E16" s="3" t="s">
        <v>34</v>
      </c>
      <c r="F16" s="3" t="s">
        <v>35</v>
      </c>
      <c r="G16" s="3" t="s">
        <v>36</v>
      </c>
      <c r="H16" s="3" t="s">
        <v>37</v>
      </c>
      <c r="I16" s="3" t="s">
        <v>38</v>
      </c>
      <c r="J16" s="3" t="s">
        <v>39</v>
      </c>
      <c r="K16" s="6" t="s">
        <v>40</v>
      </c>
      <c r="L16" s="3" t="s">
        <v>41</v>
      </c>
      <c r="M16" s="3" t="s">
        <v>42</v>
      </c>
    </row>
    <row r="17" spans="3:13">
      <c r="C17" s="3">
        <f>MIN(C3:C10)</f>
        <v>0</v>
      </c>
      <c r="D17" s="3">
        <f>MIN(D3:D10)</f>
        <v>0</v>
      </c>
      <c r="E17" s="3">
        <f t="shared" ref="E17:K17" si="1">MIN(E3:E10)</f>
        <v>0</v>
      </c>
      <c r="F17" s="3">
        <f t="shared" si="1"/>
        <v>0</v>
      </c>
      <c r="G17" s="3">
        <f t="shared" si="1"/>
        <v>0</v>
      </c>
      <c r="H17" s="3">
        <f t="shared" si="1"/>
        <v>0</v>
      </c>
      <c r="I17" s="3">
        <f t="shared" si="1"/>
        <v>0</v>
      </c>
      <c r="J17" s="3">
        <f t="shared" si="1"/>
        <v>0</v>
      </c>
      <c r="K17" s="6">
        <f>MIN(K3:K6)</f>
        <v>0</v>
      </c>
      <c r="L17" s="3">
        <f>MIN(K7:K9)</f>
        <v>0</v>
      </c>
      <c r="M17" s="3">
        <f>MAX(M3:M10)</f>
        <v>0</v>
      </c>
    </row>
    <row r="18" spans="12:12">
      <c r="L18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2" sqref="F22"/>
    </sheetView>
  </sheetViews>
  <sheetFormatPr defaultColWidth="9" defaultRowHeight="15"/>
  <sheetData/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成绩汇总</vt:lpstr>
      <vt:lpstr>成绩分析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DYF_2023</cp:lastModifiedBy>
  <dcterms:created xsi:type="dcterms:W3CDTF">2018-05-27T03:28:00Z</dcterms:created>
  <dcterms:modified xsi:type="dcterms:W3CDTF">2025-09-20T07:43:35Z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AE41204D8E29E6912C20C4687D00A987_42</vt:lpwstr>
  </property>
  <property fmtid="{D5CDD505-2E9C-101B-9397-08002B2CF9AE}" pid="3" name="KSOProductBuildVer">
    <vt:lpwstr>2052-12.1.0.17900</vt:lpwstr>
  </property>
</Properties>
</file>